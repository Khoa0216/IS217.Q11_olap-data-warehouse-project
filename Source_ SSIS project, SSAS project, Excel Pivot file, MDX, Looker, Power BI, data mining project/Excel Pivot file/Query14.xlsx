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ồ án OLAP\"/>
    </mc:Choice>
  </mc:AlternateContent>
  <xr:revisionPtr revIDLastSave="0" documentId="8_{1F4A2C23-16BC-4073-B3C5-EB6D32B48EA0}" xr6:coauthVersionLast="47" xr6:coauthVersionMax="47" xr10:uidLastSave="{00000000-0000-0000-0000-000000000000}"/>
  <bookViews>
    <workbookView xWindow="-108" yWindow="-108" windowWidth="23256" windowHeight="12456" xr2:uid="{A6C015E9-2337-4B5C-A76A-F5F15BFD6E5D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" i="1"/>
  <c r="D7" i="1"/>
  <c r="D15" i="1"/>
  <c r="D13" i="1"/>
  <c r="D12" i="1"/>
  <c r="D8" i="1"/>
  <c r="D3" i="1"/>
  <c r="D19" i="1"/>
  <c r="D9" i="1"/>
  <c r="D5" i="1"/>
  <c r="D11" i="1"/>
  <c r="D6" i="1"/>
  <c r="D14" i="1"/>
  <c r="D16" i="1"/>
  <c r="D20" i="1"/>
  <c r="D17" i="1"/>
  <c r="D18" i="1"/>
  <c r="D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DB6B0-4593-4D63-A47F-15CCA7BE7636}" odcFile="C:\Users\acer\Documents\My Data Sources\LAPTOP-OKRKPSS7 TMDB_Movie_SSAS TMDB MOVIE DATA WAREHOUSE.odc" keepAlive="1" name="LAPTOP-OKRKPSS7 TMDB_Movie_SSAS TMDB MOVIE DATA WAREHOUSE" type="5" refreshedVersion="8" background="1">
    <dbPr connection="Provider=MSOLAP.8;Integrated Security=SSPI;Persist Security Info=True;Initial Catalog=TMDB_Movie_SSAS;Data Source=LAPTOP-OKRKPSS7;MDX Compatibility=1;Safety Options=2;MDX Missing Member Mode=Error;Update Isolation Level=2" command="TMDB MOVIE DATA WAREHOUSE" commandType="1"/>
    <olapPr sendLocale="1" rowDrillCount="1000"/>
  </connection>
</connections>
</file>

<file path=xl/sharedStrings.xml><?xml version="1.0" encoding="utf-8"?>
<sst xmlns="http://schemas.openxmlformats.org/spreadsheetml/2006/main" count="24" uniqueCount="24">
  <si>
    <t>Row Labels</t>
  </si>
  <si>
    <t>Action</t>
  </si>
  <si>
    <t>Adventure</t>
  </si>
  <si>
    <t>Animation</t>
  </si>
  <si>
    <t>Comedy</t>
  </si>
  <si>
    <t>Crime</t>
  </si>
  <si>
    <t>Documentary</t>
  </si>
  <si>
    <t>Drama</t>
  </si>
  <si>
    <t>Family</t>
  </si>
  <si>
    <t>Fantasy</t>
  </si>
  <si>
    <t>History</t>
  </si>
  <si>
    <t>Horror</t>
  </si>
  <si>
    <t>Music</t>
  </si>
  <si>
    <t>Mystery</t>
  </si>
  <si>
    <t>Romance</t>
  </si>
  <si>
    <t>Science Fiction</t>
  </si>
  <si>
    <t>Thriller</t>
  </si>
  <si>
    <t>TV Movie</t>
  </si>
  <si>
    <t>War</t>
  </si>
  <si>
    <t>Western</t>
  </si>
  <si>
    <t>Grand Total</t>
  </si>
  <si>
    <t>BUDGET</t>
  </si>
  <si>
    <t>REVENUE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</si>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</sst>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5974.335117824077" backgroundQuery="1" createdVersion="8" refreshedVersion="8" minRefreshableVersion="3" recordCount="0" supportSubquery="1" supportAdvancedDrill="1" xr:uid="{A5645CED-F091-404C-B5D8-0B209EB3F705}">
  <cacheSource type="external" connectionId="1"/>
  <cacheFields count="3">
    <cacheField name="[DIM GENRE].[GENRE NAME].[GENRE NAME]" caption="GENRE NAME" numFmtId="0" hierarchy="16" level="1">
      <sharedItems count="19">
        <s v="[DIM GENRE].[GENRE NAME].&amp;[Action]" c="Action"/>
        <s v="[DIM GENRE].[GENRE NAME].&amp;[Adventure]" c="Adventure"/>
        <s v="[DIM GENRE].[GENRE NAME].&amp;[Animation]" c="Animation"/>
        <s v="[DIM GENRE].[GENRE NAME].&amp;[Comedy]" c="Comedy"/>
        <s v="[DIM GENRE].[GENRE NAME].&amp;[Crime]" c="Crime"/>
        <s v="[DIM GENRE].[GENRE NAME].&amp;[Documentary]" c="Documentary"/>
        <s v="[DIM GENRE].[GENRE NAME].&amp;[Drama]" c="Drama"/>
        <s v="[DIM GENRE].[GENRE NAME].&amp;[Family]" c="Family"/>
        <s v="[DIM GENRE].[GENRE NAME].&amp;[Fantasy]" c="Fantasy"/>
        <s v="[DIM GENRE].[GENRE NAME].&amp;[History]" c="History"/>
        <s v="[DIM GENRE].[GENRE NAME].&amp;[Horror]" c="Horror"/>
        <s v="[DIM GENRE].[GENRE NAME].&amp;[Music]" c="Music"/>
        <s v="[DIM GENRE].[GENRE NAME].&amp;[Mystery]" c="Mystery"/>
        <s v="[DIM GENRE].[GENRE NAME].&amp;[Romance]" c="Romance"/>
        <s v="[DIM GENRE].[GENRE NAME].&amp;[Science Fiction]" c="Science Fiction"/>
        <s v="[DIM GENRE].[GENRE NAME].&amp;[Thriller]" c="Thriller"/>
        <s v="[DIM GENRE].[GENRE NAME].&amp;[TV Movie]" c="TV Movie"/>
        <s v="[DIM GENRE].[GENRE NAME].&amp;[War]" c="War"/>
        <s v="[DIM GENRE].[GENRE NAME].&amp;[Western]" c="Western"/>
      </sharedItems>
    </cacheField>
    <cacheField name="[Measures].[BUDGET]" caption="BUDGET" numFmtId="0" hierarchy="27" level="32767"/>
    <cacheField name="[Measures].[REVENUE]" caption="REVENUE" numFmtId="0" hierarchy="28" level="32767"/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0"/>
      </fieldsUsage>
    </cacheHierarchy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 oneField="1">
      <fieldsUsage count="1">
        <fieldUsage x="1"/>
      </fieldsUsage>
    </cacheHierarchy>
    <cacheHierarchy uniqueName="[Measures].[REVENUE]" caption="REVENUE" measure="1" displayFolder="" measureGroup="FACT MOVIE" count="0" oneField="1">
      <fieldsUsage count="1">
        <fieldUsage x="2"/>
      </fieldsUsage>
    </cacheHierarchy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Average_Revenue]" caption="Average_Revenue" measure="1" displayFolder="" count="0"/>
    <cacheHierarchy uniqueName="[Measures].[Profitability]" caption="Profitability" measure="1" displayFolder="" count="0"/>
    <cacheHierarchy uniqueName="[Measures].[% Adult Films]" caption="% Adult Films" measure="1" displayFolder="" count="0"/>
    <cacheHierarchy uniqueName="[Measures].[Profit]" caption="Profit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0177F-9342-4D3C-BB30-83AC18D661C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1" firstHeaderRow="0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0D6A-52A3-41A1-BC0A-271164703368}">
  <dimension ref="A1:D21"/>
  <sheetViews>
    <sheetView tabSelected="1" zoomScale="99" workbookViewId="0">
      <selection activeCell="C3" sqref="C3"/>
    </sheetView>
  </sheetViews>
  <sheetFormatPr defaultRowHeight="14.4" x14ac:dyDescent="0.3"/>
  <cols>
    <col min="1" max="1" width="13.33203125" bestFit="1" customWidth="1"/>
    <col min="2" max="3" width="12" bestFit="1" customWidth="1"/>
    <col min="4" max="4" width="8.88671875" style="4"/>
  </cols>
  <sheetData>
    <row r="1" spans="1:4" x14ac:dyDescent="0.3">
      <c r="A1" s="1" t="s">
        <v>0</v>
      </c>
      <c r="B1" t="s">
        <v>21</v>
      </c>
      <c r="C1" t="s">
        <v>22</v>
      </c>
      <c r="D1" s="4" t="s">
        <v>23</v>
      </c>
    </row>
    <row r="2" spans="1:4" x14ac:dyDescent="0.3">
      <c r="A2" s="2" t="s">
        <v>1</v>
      </c>
      <c r="B2" s="3">
        <v>37372276192</v>
      </c>
      <c r="C2" s="3">
        <v>98929646409</v>
      </c>
      <c r="D2" s="4">
        <f>(C2-B2)/B2</f>
        <v>1.6471399788642556</v>
      </c>
    </row>
    <row r="3" spans="1:4" x14ac:dyDescent="0.3">
      <c r="A3" s="2" t="s">
        <v>2</v>
      </c>
      <c r="B3" s="3">
        <v>29841368039</v>
      </c>
      <c r="C3" s="3">
        <v>89401517118</v>
      </c>
      <c r="D3" s="4">
        <f>(C3-B3)/B3</f>
        <v>1.9958920449344082</v>
      </c>
    </row>
    <row r="4" spans="1:4" x14ac:dyDescent="0.3">
      <c r="A4" s="2" t="s">
        <v>3</v>
      </c>
      <c r="B4" s="3">
        <v>8442952120</v>
      </c>
      <c r="C4" s="3">
        <v>29728860248</v>
      </c>
      <c r="D4" s="4">
        <f>(C4-B4)/B4</f>
        <v>2.5211451901494377</v>
      </c>
    </row>
    <row r="5" spans="1:4" x14ac:dyDescent="0.3">
      <c r="A5" s="2" t="s">
        <v>4</v>
      </c>
      <c r="B5" s="3">
        <v>37329148862</v>
      </c>
      <c r="C5" s="3">
        <v>103364367278</v>
      </c>
      <c r="D5" s="4">
        <f>(C5-B5)/B5</f>
        <v>1.7689987698386007</v>
      </c>
    </row>
    <row r="6" spans="1:4" x14ac:dyDescent="0.3">
      <c r="A6" s="2" t="s">
        <v>5</v>
      </c>
      <c r="B6" s="3">
        <v>12289070561</v>
      </c>
      <c r="C6" s="3">
        <v>27855609104</v>
      </c>
      <c r="D6" s="4">
        <f>(C6-B6)/B6</f>
        <v>1.2666977918086999</v>
      </c>
    </row>
    <row r="7" spans="1:4" x14ac:dyDescent="0.3">
      <c r="A7" s="2" t="s">
        <v>6</v>
      </c>
      <c r="B7" s="3">
        <v>972767107</v>
      </c>
      <c r="C7" s="3">
        <v>2273773174</v>
      </c>
      <c r="D7" s="4">
        <f>(C7-B7)/B7</f>
        <v>1.3374281034360673</v>
      </c>
    </row>
    <row r="8" spans="1:4" x14ac:dyDescent="0.3">
      <c r="A8" s="2" t="s">
        <v>7</v>
      </c>
      <c r="B8" s="3">
        <v>38778330868</v>
      </c>
      <c r="C8" s="3">
        <v>90993694210</v>
      </c>
      <c r="D8" s="4">
        <f>(C8-B8)/B8</f>
        <v>1.3465087891415224</v>
      </c>
    </row>
    <row r="9" spans="1:4" x14ac:dyDescent="0.3">
      <c r="A9" s="2" t="s">
        <v>8</v>
      </c>
      <c r="B9" s="3">
        <v>15681864009</v>
      </c>
      <c r="C9" s="3">
        <v>42689054063</v>
      </c>
      <c r="D9" s="4">
        <f>(C9-B9)/B9</f>
        <v>1.7221925938460036</v>
      </c>
    </row>
    <row r="10" spans="1:4" x14ac:dyDescent="0.3">
      <c r="A10" s="2" t="s">
        <v>9</v>
      </c>
      <c r="B10" s="3">
        <v>14496333409</v>
      </c>
      <c r="C10" s="3">
        <v>45387254426</v>
      </c>
      <c r="D10" s="4">
        <f>(C10-B10)/B10</f>
        <v>2.1309471950901373</v>
      </c>
    </row>
    <row r="11" spans="1:4" x14ac:dyDescent="0.3">
      <c r="A11" s="2" t="s">
        <v>10</v>
      </c>
      <c r="B11" s="3">
        <v>5464124791</v>
      </c>
      <c r="C11" s="3">
        <v>10262849086</v>
      </c>
      <c r="D11" s="4">
        <f>(C11-B11)/B11</f>
        <v>0.87822377389769979</v>
      </c>
    </row>
    <row r="12" spans="1:4" x14ac:dyDescent="0.3">
      <c r="A12" s="2" t="s">
        <v>11</v>
      </c>
      <c r="B12" s="3">
        <v>6969557111</v>
      </c>
      <c r="C12" s="3">
        <v>18884116327</v>
      </c>
      <c r="D12" s="4">
        <f>(C12-B12)/B12</f>
        <v>1.7095145396248121</v>
      </c>
    </row>
    <row r="13" spans="1:4" x14ac:dyDescent="0.3">
      <c r="A13" s="2" t="s">
        <v>12</v>
      </c>
      <c r="B13" s="3">
        <v>2543070441</v>
      </c>
      <c r="C13" s="3">
        <v>7157540043</v>
      </c>
      <c r="D13" s="4">
        <f>(C13-B13)/B13</f>
        <v>1.8145268521093239</v>
      </c>
    </row>
    <row r="14" spans="1:4" x14ac:dyDescent="0.3">
      <c r="A14" s="2" t="s">
        <v>13</v>
      </c>
      <c r="B14" s="3">
        <v>6834021573</v>
      </c>
      <c r="C14" s="3">
        <v>16043552238</v>
      </c>
      <c r="D14" s="4">
        <f>(C14-B14)/B14</f>
        <v>1.3476004672541879</v>
      </c>
    </row>
    <row r="15" spans="1:4" x14ac:dyDescent="0.3">
      <c r="A15" s="2" t="s">
        <v>14</v>
      </c>
      <c r="B15" s="3">
        <v>13212149444</v>
      </c>
      <c r="C15" s="3">
        <v>37181637471</v>
      </c>
      <c r="D15" s="4">
        <f>(C15-B15)/B15</f>
        <v>1.8142004924024837</v>
      </c>
    </row>
    <row r="16" spans="1:4" x14ac:dyDescent="0.3">
      <c r="A16" s="2" t="s">
        <v>15</v>
      </c>
      <c r="B16" s="3">
        <v>14991449218</v>
      </c>
      <c r="C16" s="3">
        <v>34883482448</v>
      </c>
      <c r="D16" s="4">
        <f>(C16-B16)/B16</f>
        <v>1.32689194625133</v>
      </c>
    </row>
    <row r="17" spans="1:4" x14ac:dyDescent="0.3">
      <c r="A17" s="2" t="s">
        <v>16</v>
      </c>
      <c r="B17" s="3">
        <v>22676070080</v>
      </c>
      <c r="C17" s="3">
        <v>50838463221</v>
      </c>
      <c r="D17" s="4">
        <f>(C17-B17)/B17</f>
        <v>1.241943292715384</v>
      </c>
    </row>
    <row r="18" spans="1:4" x14ac:dyDescent="0.3">
      <c r="A18" s="2" t="s">
        <v>17</v>
      </c>
      <c r="B18" s="3">
        <v>278384653</v>
      </c>
      <c r="C18" s="3">
        <v>13206831</v>
      </c>
      <c r="D18" s="4">
        <f>(C18-B18)/B18</f>
        <v>-0.95255905504244875</v>
      </c>
    </row>
    <row r="19" spans="1:4" x14ac:dyDescent="0.3">
      <c r="A19" s="2" t="s">
        <v>18</v>
      </c>
      <c r="B19" s="3">
        <v>3101660920</v>
      </c>
      <c r="C19" s="3">
        <v>6771155390</v>
      </c>
      <c r="D19" s="4">
        <f>(C19-B19)/B19</f>
        <v>1.1830740253837935</v>
      </c>
    </row>
    <row r="20" spans="1:4" x14ac:dyDescent="0.3">
      <c r="A20" s="2" t="s">
        <v>19</v>
      </c>
      <c r="B20" s="3">
        <v>1552878455</v>
      </c>
      <c r="C20" s="3">
        <v>3075089630</v>
      </c>
      <c r="D20" s="4">
        <f>(C20-B20)/B20</f>
        <v>0.98025133267754683</v>
      </c>
    </row>
    <row r="21" spans="1:4" x14ac:dyDescent="0.3">
      <c r="A21" s="2" t="s">
        <v>20</v>
      </c>
      <c r="B21" s="3">
        <v>272827477853</v>
      </c>
      <c r="C21" s="3">
        <v>715734868715</v>
      </c>
    </row>
  </sheetData>
  <sortState xmlns:xlrd2="http://schemas.microsoft.com/office/spreadsheetml/2017/richdata2" ref="D2:D22">
    <sortCondition descending="1" ref="D1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Thúy An</dc:creator>
  <cp:lastModifiedBy>Lê Nguyễn Thúy An</cp:lastModifiedBy>
  <dcterms:created xsi:type="dcterms:W3CDTF">2025-11-13T01:00:49Z</dcterms:created>
  <dcterms:modified xsi:type="dcterms:W3CDTF">2025-11-13T02:12:54Z</dcterms:modified>
</cp:coreProperties>
</file>